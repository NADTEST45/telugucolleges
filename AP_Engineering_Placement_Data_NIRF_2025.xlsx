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 Engineering Placements" sheetId="1" state="visible" r:id="rId3"/>
    <sheet name="Legend &amp; Notes" sheetId="2" state="visible" r:id="rId4"/>
    <sheet name="NIRF Submission - NIT AP" sheetId="3" state="visible" r:id="rId5"/>
  </sheets>
  <definedNames>
    <definedName function="false" hidden="true" localSheetId="0" name="_xlnm._FilterDatabase" vbProcedure="false">'AP Engineering Placements'!$A$5:$L$39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<sst xmlns="http://schemas.openxmlformats.org/spreadsheetml/2006/main" count="359" uniqueCount="121">
  <si>
    <t xml:space="preserve">Engineering College Placement Data - Andhra Pradesh</t>
  </si>
  <si>
    <t xml:space="preserve">Source: NIRF 2025 Submissions &amp; NIRF-Referenced Reports  |  Data Year: 2023-24 (Latest Available)</t>
  </si>
  <si>
    <t xml:space="preserve">Note: Median salary figures are from NIRF submissions where available. Highest/Average packages from NIRF reports &amp; verified institutional data.</t>
  </si>
  <si>
    <t xml:space="preserve">S.No.</t>
  </si>
  <si>
    <t xml:space="preserve">College Name</t>
  </si>
  <si>
    <t xml:space="preserve">City / District</t>
  </si>
  <si>
    <t xml:space="preserve">Type</t>
  </si>
  <si>
    <t xml:space="preserve">NIRF 2025
Rank (Engg)</t>
  </si>
  <si>
    <t xml:space="preserve">Highest Package
(₹ LPA)</t>
  </si>
  <si>
    <t xml:space="preserve">Average Package
(₹ LPA)</t>
  </si>
  <si>
    <t xml:space="preserve">Median Package
(₹ LPA)</t>
  </si>
  <si>
    <t xml:space="preserve">Students
Graduated</t>
  </si>
  <si>
    <t xml:space="preserve">Students
Placed</t>
  </si>
  <si>
    <t xml:space="preserve">Placement %</t>
  </si>
  <si>
    <t xml:space="preserve">Data Source</t>
  </si>
  <si>
    <t xml:space="preserve">Indian Institute of Technology (IIT) Tirupati</t>
  </si>
  <si>
    <t xml:space="preserve">Tirupati</t>
  </si>
  <si>
    <t xml:space="preserve">Govt (Central)</t>
  </si>
  <si>
    <t xml:space="preserve">36</t>
  </si>
  <si>
    <t xml:space="preserve">NIRF 2025 Report</t>
  </si>
  <si>
    <t xml:space="preserve">National Institute of Technology (NIT) AP</t>
  </si>
  <si>
    <t xml:space="preserve">Tadepalligudem</t>
  </si>
  <si>
    <t xml:space="preserve">201-300</t>
  </si>
  <si>
    <t xml:space="preserve">NIRF 2025 Submission</t>
  </si>
  <si>
    <t xml:space="preserve">IIIT Sri City</t>
  </si>
  <si>
    <t xml:space="preserve">Chittoor</t>
  </si>
  <si>
    <t xml:space="preserve">75</t>
  </si>
  <si>
    <t xml:space="preserve">—</t>
  </si>
  <si>
    <t xml:space="preserve">IIITDM Kurnool</t>
  </si>
  <si>
    <t xml:space="preserve">Kurnool</t>
  </si>
  <si>
    <t xml:space="preserve">101-150</t>
  </si>
  <si>
    <t xml:space="preserve">Indian Institute of Petroleum &amp; Energy (IIPE)</t>
  </si>
  <si>
    <t xml:space="preserve">Visakhapatnam</t>
  </si>
  <si>
    <t xml:space="preserve">NIRF 2025 Participated</t>
  </si>
  <si>
    <t xml:space="preserve">AU College of Engineering (AUCE)</t>
  </si>
  <si>
    <t xml:space="preserve">Govt (State)</t>
  </si>
  <si>
    <t xml:space="preserve">88</t>
  </si>
  <si>
    <t xml:space="preserve">JNTUA College of Engineering, Anantapur (JNTUA CEA)</t>
  </si>
  <si>
    <t xml:space="preserve">Anantapur</t>
  </si>
  <si>
    <t xml:space="preserve">59 (Univ)</t>
  </si>
  <si>
    <t xml:space="preserve">JNTUK University College of Engineering, Kakinada</t>
  </si>
  <si>
    <t xml:space="preserve">Kakinada</t>
  </si>
  <si>
    <t xml:space="preserve">Participated</t>
  </si>
  <si>
    <t xml:space="preserve">Sri Venkateswara University College of Engineering</t>
  </si>
  <si>
    <t xml:space="preserve">KL University (KL College of Engineering)</t>
  </si>
  <si>
    <t xml:space="preserve">Vaddeswaram, Guntur</t>
  </si>
  <si>
    <t xml:space="preserve">Deemed</t>
  </si>
  <si>
    <t xml:space="preserve">35</t>
  </si>
  <si>
    <t xml:space="preserve">Vignan's Foundation for Science, Technology &amp; Research (VFSTR)</t>
  </si>
  <si>
    <t xml:space="preserve">Guntur</t>
  </si>
  <si>
    <t xml:space="preserve">80</t>
  </si>
  <si>
    <t xml:space="preserve">GITAM University (Engineering)</t>
  </si>
  <si>
    <t xml:space="preserve">SRM University AP</t>
  </si>
  <si>
    <t xml:space="preserve">Amaravati, Guntur</t>
  </si>
  <si>
    <t xml:space="preserve">Private</t>
  </si>
  <si>
    <t xml:space="preserve">NIRF Report / Institutional</t>
  </si>
  <si>
    <t xml:space="preserve">VIT-AP University</t>
  </si>
  <si>
    <t xml:space="preserve">Amrita Vishwa Vidyapeetham, Amaravati</t>
  </si>
  <si>
    <t xml:space="preserve">Aditya University</t>
  </si>
  <si>
    <t xml:space="preserve">Surampalem, E. Godavari</t>
  </si>
  <si>
    <t xml:space="preserve">Centurion University of Technology &amp; Management, AP</t>
  </si>
  <si>
    <t xml:space="preserve">Vizianagaram</t>
  </si>
  <si>
    <t xml:space="preserve">Gayatri Vidya Parishad College of Engineering (GVPCE)</t>
  </si>
  <si>
    <t xml:space="preserve">RVR &amp; JC College of Engineering</t>
  </si>
  <si>
    <t xml:space="preserve">Sree Vidyanikethan Engineering College (SVEC)</t>
  </si>
  <si>
    <t xml:space="preserve">Sri Venkateswara College of Engineering (SVCE)</t>
  </si>
  <si>
    <t xml:space="preserve">Gudlavalleru Engineering College (GEC)</t>
  </si>
  <si>
    <t xml:space="preserve">Gudlavalleru, Krishna</t>
  </si>
  <si>
    <t xml:space="preserve">Prasad V. Potluri Siddhartha Institute of Technology (PVPSIT)</t>
  </si>
  <si>
    <t xml:space="preserve">Vijayawada</t>
  </si>
  <si>
    <t xml:space="preserve">Vignan's Institute of Information Technology (VIIT)</t>
  </si>
  <si>
    <t xml:space="preserve">Aditya Institute of Technology &amp; Management (AITAM)</t>
  </si>
  <si>
    <t xml:space="preserve">Tekkali, Srikakulam</t>
  </si>
  <si>
    <t xml:space="preserve">GMR Institute of Technology</t>
  </si>
  <si>
    <t xml:space="preserve">Rajam, Srikakulam</t>
  </si>
  <si>
    <t xml:space="preserve">Lakireddy Bali Reddy College of Engineering (LBRCE)</t>
  </si>
  <si>
    <t xml:space="preserve">Mylavaram, Krishna</t>
  </si>
  <si>
    <t xml:space="preserve">Institutional Data</t>
  </si>
  <si>
    <t xml:space="preserve">Godavari Institute of Engineering &amp; Technology (GIET)</t>
  </si>
  <si>
    <t xml:space="preserve">Rajahmundry</t>
  </si>
  <si>
    <t xml:space="preserve">Madanapalle Institute of Technology &amp; Science</t>
  </si>
  <si>
    <t xml:space="preserve">Madanapalle, Chittoor</t>
  </si>
  <si>
    <t xml:space="preserve">QIS College of Engineering &amp; Technology</t>
  </si>
  <si>
    <t xml:space="preserve">Ongole, Prakasam</t>
  </si>
  <si>
    <t xml:space="preserve">Rajeev Gandhi Memorial College of Engg &amp; Technology</t>
  </si>
  <si>
    <t xml:space="preserve">Nandyal, Kurnool</t>
  </si>
  <si>
    <t xml:space="preserve">Sri Venkateswara College of Engg &amp; Technology</t>
  </si>
  <si>
    <t xml:space="preserve">Andhra Loyola Institute of Engineering &amp; Technology</t>
  </si>
  <si>
    <t xml:space="preserve">Audisankara College of Engineering &amp; Technology</t>
  </si>
  <si>
    <t xml:space="preserve">Gudur, Nellore</t>
  </si>
  <si>
    <t xml:space="preserve">Legend &amp; Data Notes</t>
  </si>
  <si>
    <t xml:space="preserve">Color Coding</t>
  </si>
  <si>
    <t xml:space="preserve">Green Background</t>
  </si>
  <si>
    <t xml:space="preserve">Government Institutions (Central &amp; State)</t>
  </si>
  <si>
    <t xml:space="preserve">Blue Background</t>
  </si>
  <si>
    <t xml:space="preserve">Deemed Universities</t>
  </si>
  <si>
    <t xml:space="preserve">Orange Background</t>
  </si>
  <si>
    <t xml:space="preserve">Private Colleges &amp; Universities</t>
  </si>
  <si>
    <t xml:space="preserve">Data Source Notes</t>
  </si>
  <si>
    <t xml:space="preserve">1. All NIRF data is from the NIRF 2025 cycle (data year 2023-24 academic year).</t>
  </si>
  <si>
    <t xml:space="preserve">2. Median salary is the most reliable metric as it is mandatorily reported in NIRF submissions.</t>
  </si>
  <si>
    <t xml:space="preserve">3. "Participated" means the college submitted NIRF data but was not ranked in the top 300.</t>
  </si>
  <si>
    <t xml:space="preserve">4. Highest &amp; Average package data sourced from NIRF reports published on Careers360, Shiksha &amp; institutional websites.</t>
  </si>
  <si>
    <t xml:space="preserve">5. "—" indicates data not publicly available from NIRF submissions for that institution.</t>
  </si>
  <si>
    <t xml:space="preserve">6. Package figures are in Lakhs Per Annum (LPA) in Indian Rupees (INR).</t>
  </si>
  <si>
    <t xml:space="preserve">7. Placement % is calculated as: (Students Placed / Students Graduated) × 100.</t>
  </si>
  <si>
    <t xml:space="preserve">NIT Andhra Pradesh - NIRF 2025 Submission (Placement Detail)</t>
  </si>
  <si>
    <t xml:space="preserve">Admission Year</t>
  </si>
  <si>
    <t xml:space="preserve">Intake</t>
  </si>
  <si>
    <t xml:space="preserve">Admitted</t>
  </si>
  <si>
    <t xml:space="preserve">Graduation Year</t>
  </si>
  <si>
    <t xml:space="preserve">Graduated</t>
  </si>
  <si>
    <t xml:space="preserve">Placed</t>
  </si>
  <si>
    <t xml:space="preserve">Median Salary (₹)</t>
  </si>
  <si>
    <t xml:space="preserve">2018-19</t>
  </si>
  <si>
    <t xml:space="preserve">2021-22</t>
  </si>
  <si>
    <t xml:space="preserve">2019-20</t>
  </si>
  <si>
    <t xml:space="preserve">2022-23</t>
  </si>
  <si>
    <t xml:space="preserve">2020-21</t>
  </si>
  <si>
    <t xml:space="preserve">2023-24</t>
  </si>
  <si>
    <t xml:space="preserve">Source: Official NIRF 2025 Submission PDF - NIT Andhra Pradesh (IR-E-U-0855)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</si>
</sst>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E2EFDA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AAAA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993366"/>
      <rgbColor rgb="FFFCE4D6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8" min="4" style="0" width="14"/>
    <col collapsed="false" customWidth="true" hidden="false" outlineLevel="0" max="11" min="9" style="0" width="12"/>
    <col collapsed="false" customWidth="true" hidden="false" outlineLevel="0" max="12" min="12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9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n">
        <v>1</v>
      </c>
      <c r="B6" s="6" t="s">
        <v>15</v>
      </c>
      <c r="C6" s="7" t="s">
        <v>16</v>
      </c>
      <c r="D6" s="5" t="s">
        <v>17</v>
      </c>
      <c r="E6" s="5" t="s">
        <v>18</v>
      </c>
      <c r="F6" s="8" t="n">
        <v>41.64</v>
      </c>
      <c r="G6" s="8" t="n">
        <v>13.1</v>
      </c>
      <c r="H6" s="8" t="n">
        <v>11.63</v>
      </c>
      <c r="I6" s="5" t="n">
        <v>170</v>
      </c>
      <c r="J6" s="5" t="n">
        <v>114</v>
      </c>
      <c r="K6" s="9" t="n">
        <f aca="false">IF(I6=0,"—",J6/I6)</f>
        <v>0.670588235294118</v>
      </c>
      <c r="L6" s="7" t="s">
        <v>19</v>
      </c>
    </row>
    <row r="7" customFormat="false" ht="15" hidden="false" customHeight="false" outlineLevel="0" collapsed="false">
      <c r="A7" s="5" t="n">
        <v>2</v>
      </c>
      <c r="B7" s="6" t="s">
        <v>20</v>
      </c>
      <c r="C7" s="7" t="s">
        <v>21</v>
      </c>
      <c r="D7" s="5" t="s">
        <v>17</v>
      </c>
      <c r="E7" s="5" t="s">
        <v>22</v>
      </c>
      <c r="F7" s="8" t="n">
        <v>44.1</v>
      </c>
      <c r="G7" s="8" t="n">
        <v>8.13</v>
      </c>
      <c r="H7" s="8" t="n">
        <v>7.56</v>
      </c>
      <c r="I7" s="5" t="n">
        <v>527</v>
      </c>
      <c r="J7" s="5" t="n">
        <v>393</v>
      </c>
      <c r="K7" s="9" t="n">
        <f aca="false">IF(I7=0,"—",J7/I7)</f>
        <v>0.74573055028463</v>
      </c>
      <c r="L7" s="7" t="s">
        <v>23</v>
      </c>
    </row>
    <row r="8" customFormat="false" ht="15" hidden="false" customHeight="false" outlineLevel="0" collapsed="false">
      <c r="A8" s="5" t="n">
        <v>3</v>
      </c>
      <c r="B8" s="6" t="s">
        <v>24</v>
      </c>
      <c r="C8" s="7" t="s">
        <v>25</v>
      </c>
      <c r="D8" s="5" t="s">
        <v>17</v>
      </c>
      <c r="E8" s="5" t="s">
        <v>26</v>
      </c>
      <c r="F8" s="8" t="n">
        <v>120</v>
      </c>
      <c r="G8" s="8" t="n">
        <v>18.92</v>
      </c>
      <c r="H8" s="8" t="n">
        <v>14.32</v>
      </c>
      <c r="I8" s="10" t="s">
        <v>27</v>
      </c>
      <c r="J8" s="10" t="s">
        <v>27</v>
      </c>
      <c r="K8" s="10" t="s">
        <v>27</v>
      </c>
      <c r="L8" s="7" t="s">
        <v>19</v>
      </c>
    </row>
    <row r="9" customFormat="false" ht="15" hidden="false" customHeight="false" outlineLevel="0" collapsed="false">
      <c r="A9" s="5" t="n">
        <v>4</v>
      </c>
      <c r="B9" s="6" t="s">
        <v>28</v>
      </c>
      <c r="C9" s="7" t="s">
        <v>29</v>
      </c>
      <c r="D9" s="5" t="s">
        <v>17</v>
      </c>
      <c r="E9" s="5" t="s">
        <v>30</v>
      </c>
      <c r="F9" s="8" t="n">
        <v>32.5</v>
      </c>
      <c r="G9" s="8" t="n">
        <v>7.64</v>
      </c>
      <c r="H9" s="10" t="s">
        <v>27</v>
      </c>
      <c r="I9" s="10" t="s">
        <v>27</v>
      </c>
      <c r="J9" s="10" t="s">
        <v>27</v>
      </c>
      <c r="K9" s="10" t="s">
        <v>27</v>
      </c>
      <c r="L9" s="7" t="s">
        <v>19</v>
      </c>
    </row>
    <row r="10" customFormat="false" ht="15" hidden="false" customHeight="false" outlineLevel="0" collapsed="false">
      <c r="A10" s="5" t="n">
        <v>5</v>
      </c>
      <c r="B10" s="6" t="s">
        <v>31</v>
      </c>
      <c r="C10" s="7" t="s">
        <v>32</v>
      </c>
      <c r="D10" s="5" t="s">
        <v>17</v>
      </c>
      <c r="E10" s="5" t="s">
        <v>22</v>
      </c>
      <c r="F10" s="10" t="s">
        <v>27</v>
      </c>
      <c r="G10" s="10" t="s">
        <v>27</v>
      </c>
      <c r="H10" s="10" t="s">
        <v>27</v>
      </c>
      <c r="I10" s="10" t="s">
        <v>27</v>
      </c>
      <c r="J10" s="10" t="s">
        <v>27</v>
      </c>
      <c r="K10" s="10" t="s">
        <v>27</v>
      </c>
      <c r="L10" s="7" t="s">
        <v>33</v>
      </c>
    </row>
    <row r="11" customFormat="false" ht="15" hidden="false" customHeight="false" outlineLevel="0" collapsed="false">
      <c r="A11" s="5" t="n">
        <v>6</v>
      </c>
      <c r="B11" s="6" t="s">
        <v>34</v>
      </c>
      <c r="C11" s="7" t="s">
        <v>32</v>
      </c>
      <c r="D11" s="5" t="s">
        <v>35</v>
      </c>
      <c r="E11" s="5" t="s">
        <v>36</v>
      </c>
      <c r="F11" s="10" t="s">
        <v>27</v>
      </c>
      <c r="G11" s="10" t="s">
        <v>27</v>
      </c>
      <c r="H11" s="8" t="n">
        <v>9.3</v>
      </c>
      <c r="I11" s="5" t="n">
        <v>513</v>
      </c>
      <c r="J11" s="5" t="n">
        <v>496</v>
      </c>
      <c r="K11" s="9" t="n">
        <f aca="false">IF(I11=0,"—",J11/I11)</f>
        <v>0.966861598440546</v>
      </c>
      <c r="L11" s="7" t="s">
        <v>19</v>
      </c>
    </row>
    <row r="12" customFormat="false" ht="15" hidden="false" customHeight="false" outlineLevel="0" collapsed="false">
      <c r="A12" s="5" t="n">
        <v>7</v>
      </c>
      <c r="B12" s="6" t="s">
        <v>37</v>
      </c>
      <c r="C12" s="7" t="s">
        <v>38</v>
      </c>
      <c r="D12" s="5" t="s">
        <v>35</v>
      </c>
      <c r="E12" s="5" t="s">
        <v>39</v>
      </c>
      <c r="F12" s="8" t="n">
        <v>29</v>
      </c>
      <c r="G12" s="8" t="n">
        <v>6</v>
      </c>
      <c r="H12" s="8" t="n">
        <v>4.2</v>
      </c>
      <c r="I12" s="5" t="n">
        <v>1106</v>
      </c>
      <c r="J12" s="5" t="n">
        <v>534</v>
      </c>
      <c r="K12" s="9" t="n">
        <f aca="false">IF(I12=0,"—",J12/I12)</f>
        <v>0.482820976491863</v>
      </c>
      <c r="L12" s="7" t="s">
        <v>19</v>
      </c>
    </row>
    <row r="13" customFormat="false" ht="15" hidden="false" customHeight="false" outlineLevel="0" collapsed="false">
      <c r="A13" s="5" t="n">
        <v>8</v>
      </c>
      <c r="B13" s="6" t="s">
        <v>40</v>
      </c>
      <c r="C13" s="7" t="s">
        <v>41</v>
      </c>
      <c r="D13" s="5" t="s">
        <v>35</v>
      </c>
      <c r="E13" s="5" t="s">
        <v>42</v>
      </c>
      <c r="F13" s="8" t="n">
        <v>35</v>
      </c>
      <c r="G13" s="10" t="s">
        <v>27</v>
      </c>
      <c r="H13" s="8" t="n">
        <v>9.42</v>
      </c>
      <c r="I13" s="10" t="s">
        <v>27</v>
      </c>
      <c r="J13" s="10" t="s">
        <v>27</v>
      </c>
      <c r="K13" s="10" t="s">
        <v>27</v>
      </c>
      <c r="L13" s="7" t="s">
        <v>19</v>
      </c>
    </row>
    <row r="14" customFormat="false" ht="15" hidden="false" customHeight="false" outlineLevel="0" collapsed="false">
      <c r="A14" s="5" t="n">
        <v>9</v>
      </c>
      <c r="B14" s="6" t="s">
        <v>43</v>
      </c>
      <c r="C14" s="7" t="s">
        <v>16</v>
      </c>
      <c r="D14" s="5" t="s">
        <v>35</v>
      </c>
      <c r="E14" s="5" t="s">
        <v>22</v>
      </c>
      <c r="F14" s="10" t="s">
        <v>27</v>
      </c>
      <c r="G14" s="10" t="s">
        <v>27</v>
      </c>
      <c r="H14" s="10" t="s">
        <v>27</v>
      </c>
      <c r="I14" s="10" t="s">
        <v>27</v>
      </c>
      <c r="J14" s="10" t="s">
        <v>27</v>
      </c>
      <c r="K14" s="10" t="s">
        <v>27</v>
      </c>
      <c r="L14" s="7" t="s">
        <v>33</v>
      </c>
    </row>
    <row r="15" customFormat="false" ht="15" hidden="false" customHeight="false" outlineLevel="0" collapsed="false">
      <c r="A15" s="11" t="n">
        <v>10</v>
      </c>
      <c r="B15" s="12" t="s">
        <v>44</v>
      </c>
      <c r="C15" s="13" t="s">
        <v>45</v>
      </c>
      <c r="D15" s="11" t="s">
        <v>46</v>
      </c>
      <c r="E15" s="11" t="s">
        <v>47</v>
      </c>
      <c r="F15" s="14" t="n">
        <v>75</v>
      </c>
      <c r="G15" s="14" t="n">
        <v>11</v>
      </c>
      <c r="H15" s="15" t="s">
        <v>27</v>
      </c>
      <c r="I15" s="15" t="s">
        <v>27</v>
      </c>
      <c r="J15" s="15" t="s">
        <v>27</v>
      </c>
      <c r="K15" s="15" t="s">
        <v>27</v>
      </c>
      <c r="L15" s="13" t="s">
        <v>19</v>
      </c>
    </row>
    <row r="16" customFormat="false" ht="23.85" hidden="false" customHeight="false" outlineLevel="0" collapsed="false">
      <c r="A16" s="11" t="n">
        <v>11</v>
      </c>
      <c r="B16" s="12" t="s">
        <v>48</v>
      </c>
      <c r="C16" s="13" t="s">
        <v>49</v>
      </c>
      <c r="D16" s="11" t="s">
        <v>46</v>
      </c>
      <c r="E16" s="11" t="s">
        <v>50</v>
      </c>
      <c r="F16" s="15" t="s">
        <v>27</v>
      </c>
      <c r="G16" s="15" t="s">
        <v>27</v>
      </c>
      <c r="H16" s="14" t="n">
        <v>6.96</v>
      </c>
      <c r="I16" s="15" t="s">
        <v>27</v>
      </c>
      <c r="J16" s="15" t="s">
        <v>27</v>
      </c>
      <c r="K16" s="15" t="s">
        <v>27</v>
      </c>
      <c r="L16" s="13" t="s">
        <v>19</v>
      </c>
    </row>
    <row r="17" customFormat="false" ht="15" hidden="false" customHeight="false" outlineLevel="0" collapsed="false">
      <c r="A17" s="11" t="n">
        <v>12</v>
      </c>
      <c r="B17" s="12" t="s">
        <v>51</v>
      </c>
      <c r="C17" s="13" t="s">
        <v>32</v>
      </c>
      <c r="D17" s="11" t="s">
        <v>46</v>
      </c>
      <c r="E17" s="11" t="s">
        <v>30</v>
      </c>
      <c r="F17" s="15" t="s">
        <v>27</v>
      </c>
      <c r="G17" s="15" t="s">
        <v>27</v>
      </c>
      <c r="H17" s="15" t="s">
        <v>27</v>
      </c>
      <c r="I17" s="15" t="s">
        <v>27</v>
      </c>
      <c r="J17" s="15" t="s">
        <v>27</v>
      </c>
      <c r="K17" s="15" t="s">
        <v>27</v>
      </c>
      <c r="L17" s="13" t="s">
        <v>19</v>
      </c>
    </row>
    <row r="18" customFormat="false" ht="15" hidden="false" customHeight="false" outlineLevel="0" collapsed="false">
      <c r="A18" s="16" t="n">
        <v>13</v>
      </c>
      <c r="B18" s="17" t="s">
        <v>52</v>
      </c>
      <c r="C18" s="18" t="s">
        <v>53</v>
      </c>
      <c r="D18" s="16" t="s">
        <v>54</v>
      </c>
      <c r="E18" s="16" t="s">
        <v>42</v>
      </c>
      <c r="F18" s="19" t="n">
        <v>55</v>
      </c>
      <c r="G18" s="19" t="n">
        <v>13.43</v>
      </c>
      <c r="H18" s="19" t="n">
        <v>7.07</v>
      </c>
      <c r="I18" s="20" t="s">
        <v>27</v>
      </c>
      <c r="J18" s="20" t="s">
        <v>27</v>
      </c>
      <c r="K18" s="20" t="s">
        <v>27</v>
      </c>
      <c r="L18" s="18" t="s">
        <v>55</v>
      </c>
    </row>
    <row r="19" customFormat="false" ht="15" hidden="false" customHeight="false" outlineLevel="0" collapsed="false">
      <c r="A19" s="16" t="n">
        <v>14</v>
      </c>
      <c r="B19" s="17" t="s">
        <v>56</v>
      </c>
      <c r="C19" s="18" t="s">
        <v>53</v>
      </c>
      <c r="D19" s="16" t="s">
        <v>54</v>
      </c>
      <c r="E19" s="16" t="s">
        <v>42</v>
      </c>
      <c r="F19" s="19" t="n">
        <v>27</v>
      </c>
      <c r="G19" s="19" t="n">
        <v>14.43</v>
      </c>
      <c r="H19" s="20" t="s">
        <v>27</v>
      </c>
      <c r="I19" s="20" t="s">
        <v>27</v>
      </c>
      <c r="J19" s="20" t="s">
        <v>27</v>
      </c>
      <c r="K19" s="20" t="s">
        <v>27</v>
      </c>
      <c r="L19" s="18" t="s">
        <v>55</v>
      </c>
    </row>
    <row r="20" customFormat="false" ht="15" hidden="false" customHeight="false" outlineLevel="0" collapsed="false">
      <c r="A20" s="11" t="n">
        <v>15</v>
      </c>
      <c r="B20" s="12" t="s">
        <v>57</v>
      </c>
      <c r="C20" s="13" t="s">
        <v>53</v>
      </c>
      <c r="D20" s="11" t="s">
        <v>46</v>
      </c>
      <c r="E20" s="11" t="s">
        <v>42</v>
      </c>
      <c r="F20" s="15" t="s">
        <v>27</v>
      </c>
      <c r="G20" s="15" t="s">
        <v>27</v>
      </c>
      <c r="H20" s="15" t="s">
        <v>27</v>
      </c>
      <c r="I20" s="15" t="s">
        <v>27</v>
      </c>
      <c r="J20" s="15" t="s">
        <v>27</v>
      </c>
      <c r="K20" s="15" t="s">
        <v>27</v>
      </c>
      <c r="L20" s="13" t="s">
        <v>33</v>
      </c>
    </row>
    <row r="21" customFormat="false" ht="15" hidden="false" customHeight="false" outlineLevel="0" collapsed="false">
      <c r="A21" s="16" t="n">
        <v>16</v>
      </c>
      <c r="B21" s="17" t="s">
        <v>58</v>
      </c>
      <c r="C21" s="18" t="s">
        <v>59</v>
      </c>
      <c r="D21" s="16" t="s">
        <v>54</v>
      </c>
      <c r="E21" s="16" t="s">
        <v>22</v>
      </c>
      <c r="F21" s="20" t="s">
        <v>27</v>
      </c>
      <c r="G21" s="20" t="s">
        <v>27</v>
      </c>
      <c r="H21" s="20" t="s">
        <v>27</v>
      </c>
      <c r="I21" s="20" t="s">
        <v>27</v>
      </c>
      <c r="J21" s="20" t="s">
        <v>27</v>
      </c>
      <c r="K21" s="20" t="s">
        <v>27</v>
      </c>
      <c r="L21" s="18" t="s">
        <v>33</v>
      </c>
    </row>
    <row r="22" customFormat="false" ht="15" hidden="false" customHeight="false" outlineLevel="0" collapsed="false">
      <c r="A22" s="16" t="n">
        <v>17</v>
      </c>
      <c r="B22" s="17" t="s">
        <v>60</v>
      </c>
      <c r="C22" s="18" t="s">
        <v>61</v>
      </c>
      <c r="D22" s="16" t="s">
        <v>54</v>
      </c>
      <c r="E22" s="16" t="s">
        <v>42</v>
      </c>
      <c r="F22" s="20" t="s">
        <v>27</v>
      </c>
      <c r="G22" s="20" t="s">
        <v>27</v>
      </c>
      <c r="H22" s="20" t="s">
        <v>27</v>
      </c>
      <c r="I22" s="20" t="s">
        <v>27</v>
      </c>
      <c r="J22" s="20" t="s">
        <v>27</v>
      </c>
      <c r="K22" s="20" t="s">
        <v>27</v>
      </c>
      <c r="L22" s="18" t="s">
        <v>33</v>
      </c>
    </row>
    <row r="23" customFormat="false" ht="15" hidden="false" customHeight="false" outlineLevel="0" collapsed="false">
      <c r="A23" s="16" t="n">
        <v>18</v>
      </c>
      <c r="B23" s="17" t="s">
        <v>62</v>
      </c>
      <c r="C23" s="18" t="s">
        <v>32</v>
      </c>
      <c r="D23" s="16" t="s">
        <v>54</v>
      </c>
      <c r="E23" s="16" t="s">
        <v>42</v>
      </c>
      <c r="F23" s="19" t="n">
        <v>50</v>
      </c>
      <c r="G23" s="20" t="s">
        <v>27</v>
      </c>
      <c r="H23" s="19" t="n">
        <v>5.4</v>
      </c>
      <c r="I23" s="20" t="s">
        <v>27</v>
      </c>
      <c r="J23" s="20" t="s">
        <v>27</v>
      </c>
      <c r="K23" s="20" t="s">
        <v>27</v>
      </c>
      <c r="L23" s="18" t="s">
        <v>19</v>
      </c>
    </row>
    <row r="24" customFormat="false" ht="15" hidden="false" customHeight="false" outlineLevel="0" collapsed="false">
      <c r="A24" s="16" t="n">
        <v>19</v>
      </c>
      <c r="B24" s="17" t="s">
        <v>63</v>
      </c>
      <c r="C24" s="18" t="s">
        <v>49</v>
      </c>
      <c r="D24" s="16" t="s">
        <v>54</v>
      </c>
      <c r="E24" s="16" t="s">
        <v>42</v>
      </c>
      <c r="F24" s="19" t="n">
        <v>25</v>
      </c>
      <c r="G24" s="19" t="n">
        <v>4.73</v>
      </c>
      <c r="H24" s="19" t="n">
        <v>4.25</v>
      </c>
      <c r="I24" s="16" t="n">
        <v>1081</v>
      </c>
      <c r="J24" s="16" t="n">
        <v>589</v>
      </c>
      <c r="K24" s="21" t="n">
        <f aca="false">IF(I24=0,"—",J24/I24)</f>
        <v>0.54486586493987</v>
      </c>
      <c r="L24" s="18" t="s">
        <v>19</v>
      </c>
    </row>
    <row r="25" customFormat="false" ht="15" hidden="false" customHeight="false" outlineLevel="0" collapsed="false">
      <c r="A25" s="16" t="n">
        <v>20</v>
      </c>
      <c r="B25" s="17" t="s">
        <v>64</v>
      </c>
      <c r="C25" s="18" t="s">
        <v>16</v>
      </c>
      <c r="D25" s="16" t="s">
        <v>54</v>
      </c>
      <c r="E25" s="16" t="s">
        <v>22</v>
      </c>
      <c r="F25" s="19" t="n">
        <v>31</v>
      </c>
      <c r="G25" s="19" t="n">
        <v>4.9</v>
      </c>
      <c r="H25" s="19" t="n">
        <v>5.3</v>
      </c>
      <c r="I25" s="16" t="n">
        <v>1554</v>
      </c>
      <c r="J25" s="16" t="n">
        <v>1363</v>
      </c>
      <c r="K25" s="21" t="n">
        <f aca="false">IF(I25=0,"—",J25/I25)</f>
        <v>0.877091377091377</v>
      </c>
      <c r="L25" s="18" t="s">
        <v>19</v>
      </c>
    </row>
    <row r="26" customFormat="false" ht="15" hidden="false" customHeight="false" outlineLevel="0" collapsed="false">
      <c r="A26" s="16" t="n">
        <v>21</v>
      </c>
      <c r="B26" s="17" t="s">
        <v>65</v>
      </c>
      <c r="C26" s="18" t="s">
        <v>16</v>
      </c>
      <c r="D26" s="16" t="s">
        <v>54</v>
      </c>
      <c r="E26" s="16" t="s">
        <v>22</v>
      </c>
      <c r="F26" s="19" t="n">
        <v>11</v>
      </c>
      <c r="G26" s="20" t="s">
        <v>27</v>
      </c>
      <c r="H26" s="19" t="n">
        <v>5.5</v>
      </c>
      <c r="I26" s="20" t="s">
        <v>27</v>
      </c>
      <c r="J26" s="16" t="n">
        <v>1625</v>
      </c>
      <c r="K26" s="20" t="s">
        <v>27</v>
      </c>
      <c r="L26" s="18" t="s">
        <v>19</v>
      </c>
    </row>
    <row r="27" customFormat="false" ht="15" hidden="false" customHeight="false" outlineLevel="0" collapsed="false">
      <c r="A27" s="16" t="n">
        <v>22</v>
      </c>
      <c r="B27" s="17" t="s">
        <v>66</v>
      </c>
      <c r="C27" s="18" t="s">
        <v>67</v>
      </c>
      <c r="D27" s="16" t="s">
        <v>54</v>
      </c>
      <c r="E27" s="16" t="s">
        <v>42</v>
      </c>
      <c r="F27" s="19" t="n">
        <v>31</v>
      </c>
      <c r="G27" s="19" t="n">
        <v>4.01</v>
      </c>
      <c r="H27" s="19" t="n">
        <v>4.12</v>
      </c>
      <c r="I27" s="20" t="s">
        <v>27</v>
      </c>
      <c r="J27" s="16" t="n">
        <v>872</v>
      </c>
      <c r="K27" s="20" t="s">
        <v>27</v>
      </c>
      <c r="L27" s="18" t="s">
        <v>19</v>
      </c>
    </row>
    <row r="28" customFormat="false" ht="23.85" hidden="false" customHeight="false" outlineLevel="0" collapsed="false">
      <c r="A28" s="16" t="n">
        <v>23</v>
      </c>
      <c r="B28" s="17" t="s">
        <v>68</v>
      </c>
      <c r="C28" s="18" t="s">
        <v>69</v>
      </c>
      <c r="D28" s="16" t="s">
        <v>54</v>
      </c>
      <c r="E28" s="16" t="s">
        <v>22</v>
      </c>
      <c r="F28" s="19" t="n">
        <v>44</v>
      </c>
      <c r="G28" s="19" t="n">
        <v>7.44</v>
      </c>
      <c r="H28" s="20" t="s">
        <v>27</v>
      </c>
      <c r="I28" s="20" t="s">
        <v>27</v>
      </c>
      <c r="J28" s="20" t="s">
        <v>27</v>
      </c>
      <c r="K28" s="20" t="s">
        <v>27</v>
      </c>
      <c r="L28" s="18" t="s">
        <v>55</v>
      </c>
    </row>
    <row r="29" customFormat="false" ht="15" hidden="false" customHeight="false" outlineLevel="0" collapsed="false">
      <c r="A29" s="16" t="n">
        <v>24</v>
      </c>
      <c r="B29" s="17" t="s">
        <v>70</v>
      </c>
      <c r="C29" s="18" t="s">
        <v>32</v>
      </c>
      <c r="D29" s="16" t="s">
        <v>54</v>
      </c>
      <c r="E29" s="16" t="s">
        <v>22</v>
      </c>
      <c r="F29" s="20" t="s">
        <v>27</v>
      </c>
      <c r="G29" s="20" t="s">
        <v>27</v>
      </c>
      <c r="H29" s="20" t="s">
        <v>27</v>
      </c>
      <c r="I29" s="20" t="s">
        <v>27</v>
      </c>
      <c r="J29" s="20" t="s">
        <v>27</v>
      </c>
      <c r="K29" s="20" t="s">
        <v>27</v>
      </c>
      <c r="L29" s="18" t="s">
        <v>33</v>
      </c>
    </row>
    <row r="30" customFormat="false" ht="15" hidden="false" customHeight="false" outlineLevel="0" collapsed="false">
      <c r="A30" s="16" t="n">
        <v>25</v>
      </c>
      <c r="B30" s="17" t="s">
        <v>71</v>
      </c>
      <c r="C30" s="18" t="s">
        <v>72</v>
      </c>
      <c r="D30" s="16" t="s">
        <v>54</v>
      </c>
      <c r="E30" s="16" t="s">
        <v>22</v>
      </c>
      <c r="F30" s="20" t="s">
        <v>27</v>
      </c>
      <c r="G30" s="20" t="s">
        <v>27</v>
      </c>
      <c r="H30" s="20" t="s">
        <v>27</v>
      </c>
      <c r="I30" s="20" t="s">
        <v>27</v>
      </c>
      <c r="J30" s="20" t="s">
        <v>27</v>
      </c>
      <c r="K30" s="20" t="s">
        <v>27</v>
      </c>
      <c r="L30" s="18" t="s">
        <v>33</v>
      </c>
    </row>
    <row r="31" customFormat="false" ht="15" hidden="false" customHeight="false" outlineLevel="0" collapsed="false">
      <c r="A31" s="16" t="n">
        <v>26</v>
      </c>
      <c r="B31" s="17" t="s">
        <v>73</v>
      </c>
      <c r="C31" s="18" t="s">
        <v>74</v>
      </c>
      <c r="D31" s="16" t="s">
        <v>54</v>
      </c>
      <c r="E31" s="16" t="s">
        <v>22</v>
      </c>
      <c r="F31" s="20" t="s">
        <v>27</v>
      </c>
      <c r="G31" s="20" t="s">
        <v>27</v>
      </c>
      <c r="H31" s="20" t="s">
        <v>27</v>
      </c>
      <c r="I31" s="20" t="s">
        <v>27</v>
      </c>
      <c r="J31" s="20" t="s">
        <v>27</v>
      </c>
      <c r="K31" s="20" t="s">
        <v>27</v>
      </c>
      <c r="L31" s="18" t="s">
        <v>33</v>
      </c>
    </row>
    <row r="32" customFormat="false" ht="15" hidden="false" customHeight="false" outlineLevel="0" collapsed="false">
      <c r="A32" s="16" t="n">
        <v>27</v>
      </c>
      <c r="B32" s="17" t="s">
        <v>75</v>
      </c>
      <c r="C32" s="18" t="s">
        <v>76</v>
      </c>
      <c r="D32" s="16" t="s">
        <v>54</v>
      </c>
      <c r="E32" s="16" t="s">
        <v>42</v>
      </c>
      <c r="F32" s="19" t="n">
        <v>16</v>
      </c>
      <c r="G32" s="19" t="n">
        <v>4</v>
      </c>
      <c r="H32" s="20" t="s">
        <v>27</v>
      </c>
      <c r="I32" s="20" t="s">
        <v>27</v>
      </c>
      <c r="J32" s="20" t="s">
        <v>27</v>
      </c>
      <c r="K32" s="20" t="s">
        <v>27</v>
      </c>
      <c r="L32" s="18" t="s">
        <v>77</v>
      </c>
    </row>
    <row r="33" customFormat="false" ht="15" hidden="false" customHeight="false" outlineLevel="0" collapsed="false">
      <c r="A33" s="16" t="n">
        <v>28</v>
      </c>
      <c r="B33" s="17" t="s">
        <v>78</v>
      </c>
      <c r="C33" s="18" t="s">
        <v>79</v>
      </c>
      <c r="D33" s="16" t="s">
        <v>54</v>
      </c>
      <c r="E33" s="16" t="s">
        <v>22</v>
      </c>
      <c r="F33" s="20" t="s">
        <v>27</v>
      </c>
      <c r="G33" s="20" t="s">
        <v>27</v>
      </c>
      <c r="H33" s="20" t="s">
        <v>27</v>
      </c>
      <c r="I33" s="20" t="s">
        <v>27</v>
      </c>
      <c r="J33" s="20" t="s">
        <v>27</v>
      </c>
      <c r="K33" s="20" t="s">
        <v>27</v>
      </c>
      <c r="L33" s="18" t="s">
        <v>33</v>
      </c>
    </row>
    <row r="34" customFormat="false" ht="15" hidden="false" customHeight="false" outlineLevel="0" collapsed="false">
      <c r="A34" s="16" t="n">
        <v>29</v>
      </c>
      <c r="B34" s="17" t="s">
        <v>80</v>
      </c>
      <c r="C34" s="18" t="s">
        <v>81</v>
      </c>
      <c r="D34" s="16" t="s">
        <v>54</v>
      </c>
      <c r="E34" s="16" t="s">
        <v>22</v>
      </c>
      <c r="F34" s="20" t="s">
        <v>27</v>
      </c>
      <c r="G34" s="20" t="s">
        <v>27</v>
      </c>
      <c r="H34" s="20" t="s">
        <v>27</v>
      </c>
      <c r="I34" s="20" t="s">
        <v>27</v>
      </c>
      <c r="J34" s="20" t="s">
        <v>27</v>
      </c>
      <c r="K34" s="20" t="s">
        <v>27</v>
      </c>
      <c r="L34" s="18" t="s">
        <v>33</v>
      </c>
    </row>
    <row r="35" customFormat="false" ht="15" hidden="false" customHeight="false" outlineLevel="0" collapsed="false">
      <c r="A35" s="16" t="n">
        <v>30</v>
      </c>
      <c r="B35" s="17" t="s">
        <v>82</v>
      </c>
      <c r="C35" s="18" t="s">
        <v>83</v>
      </c>
      <c r="D35" s="16" t="s">
        <v>54</v>
      </c>
      <c r="E35" s="16" t="s">
        <v>22</v>
      </c>
      <c r="F35" s="20" t="s">
        <v>27</v>
      </c>
      <c r="G35" s="20" t="s">
        <v>27</v>
      </c>
      <c r="H35" s="20" t="s">
        <v>27</v>
      </c>
      <c r="I35" s="20" t="s">
        <v>27</v>
      </c>
      <c r="J35" s="20" t="s">
        <v>27</v>
      </c>
      <c r="K35" s="20" t="s">
        <v>27</v>
      </c>
      <c r="L35" s="18" t="s">
        <v>33</v>
      </c>
    </row>
    <row r="36" customFormat="false" ht="15" hidden="false" customHeight="false" outlineLevel="0" collapsed="false">
      <c r="A36" s="16" t="n">
        <v>31</v>
      </c>
      <c r="B36" s="17" t="s">
        <v>84</v>
      </c>
      <c r="C36" s="18" t="s">
        <v>85</v>
      </c>
      <c r="D36" s="16" t="s">
        <v>54</v>
      </c>
      <c r="E36" s="16" t="s">
        <v>22</v>
      </c>
      <c r="F36" s="20" t="s">
        <v>27</v>
      </c>
      <c r="G36" s="20" t="s">
        <v>27</v>
      </c>
      <c r="H36" s="20" t="s">
        <v>27</v>
      </c>
      <c r="I36" s="20" t="s">
        <v>27</v>
      </c>
      <c r="J36" s="20" t="s">
        <v>27</v>
      </c>
      <c r="K36" s="20" t="s">
        <v>27</v>
      </c>
      <c r="L36" s="18" t="s">
        <v>33</v>
      </c>
    </row>
    <row r="37" customFormat="false" ht="15" hidden="false" customHeight="false" outlineLevel="0" collapsed="false">
      <c r="A37" s="16" t="n">
        <v>32</v>
      </c>
      <c r="B37" s="17" t="s">
        <v>86</v>
      </c>
      <c r="C37" s="18" t="s">
        <v>25</v>
      </c>
      <c r="D37" s="16" t="s">
        <v>54</v>
      </c>
      <c r="E37" s="16" t="s">
        <v>22</v>
      </c>
      <c r="F37" s="20" t="s">
        <v>27</v>
      </c>
      <c r="G37" s="20" t="s">
        <v>27</v>
      </c>
      <c r="H37" s="20" t="s">
        <v>27</v>
      </c>
      <c r="I37" s="20" t="s">
        <v>27</v>
      </c>
      <c r="J37" s="20" t="s">
        <v>27</v>
      </c>
      <c r="K37" s="20" t="s">
        <v>27</v>
      </c>
      <c r="L37" s="18" t="s">
        <v>33</v>
      </c>
    </row>
    <row r="38" customFormat="false" ht="15" hidden="false" customHeight="false" outlineLevel="0" collapsed="false">
      <c r="A38" s="16" t="n">
        <v>33</v>
      </c>
      <c r="B38" s="17" t="s">
        <v>87</v>
      </c>
      <c r="C38" s="18" t="s">
        <v>69</v>
      </c>
      <c r="D38" s="16" t="s">
        <v>54</v>
      </c>
      <c r="E38" s="16" t="s">
        <v>42</v>
      </c>
      <c r="F38" s="20" t="s">
        <v>27</v>
      </c>
      <c r="G38" s="20" t="s">
        <v>27</v>
      </c>
      <c r="H38" s="20" t="s">
        <v>27</v>
      </c>
      <c r="I38" s="20" t="s">
        <v>27</v>
      </c>
      <c r="J38" s="20" t="s">
        <v>27</v>
      </c>
      <c r="K38" s="20" t="s">
        <v>27</v>
      </c>
      <c r="L38" s="18" t="s">
        <v>33</v>
      </c>
    </row>
    <row r="39" customFormat="false" ht="15" hidden="false" customHeight="false" outlineLevel="0" collapsed="false">
      <c r="A39" s="16" t="n">
        <v>34</v>
      </c>
      <c r="B39" s="17" t="s">
        <v>88</v>
      </c>
      <c r="C39" s="18" t="s">
        <v>89</v>
      </c>
      <c r="D39" s="16" t="s">
        <v>54</v>
      </c>
      <c r="E39" s="16" t="s">
        <v>42</v>
      </c>
      <c r="F39" s="20" t="s">
        <v>27</v>
      </c>
      <c r="G39" s="20" t="s">
        <v>27</v>
      </c>
      <c r="H39" s="20" t="s">
        <v>27</v>
      </c>
      <c r="I39" s="20" t="s">
        <v>27</v>
      </c>
      <c r="J39" s="20" t="s">
        <v>27</v>
      </c>
      <c r="K39" s="20" t="s">
        <v>27</v>
      </c>
      <c r="L39" s="18" t="s">
        <v>33</v>
      </c>
    </row>
  </sheetData>
  <autoFilter ref="A5:L39"/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5"/>
  </cols>
  <sheetData>
    <row r="1" customFormat="false" ht="17.35" hidden="false" customHeight="false" outlineLevel="0" collapsed="false">
      <c r="A1" s="22" t="s">
        <v>90</v>
      </c>
    </row>
    <row r="3" customFormat="false" ht="15" hidden="false" customHeight="false" outlineLevel="0" collapsed="false">
      <c r="A3" s="23" t="s">
        <v>91</v>
      </c>
    </row>
    <row r="4" customFormat="false" ht="15" hidden="false" customHeight="false" outlineLevel="0" collapsed="false">
      <c r="A4" s="24" t="s">
        <v>92</v>
      </c>
      <c r="B4" s="25" t="s">
        <v>93</v>
      </c>
    </row>
    <row r="5" customFormat="false" ht="15" hidden="false" customHeight="false" outlineLevel="0" collapsed="false">
      <c r="A5" s="26" t="s">
        <v>94</v>
      </c>
      <c r="B5" s="25" t="s">
        <v>95</v>
      </c>
    </row>
    <row r="6" customFormat="false" ht="15" hidden="false" customHeight="false" outlineLevel="0" collapsed="false">
      <c r="A6" s="27" t="s">
        <v>96</v>
      </c>
      <c r="B6" s="25" t="s">
        <v>97</v>
      </c>
    </row>
    <row r="8" customFormat="false" ht="15" hidden="false" customHeight="false" outlineLevel="0" collapsed="false">
      <c r="A8" s="23" t="s">
        <v>98</v>
      </c>
    </row>
    <row r="9" customFormat="false" ht="15" hidden="false" customHeight="false" outlineLevel="0" collapsed="false">
      <c r="A9" s="25" t="s">
        <v>99</v>
      </c>
    </row>
    <row r="10" customFormat="false" ht="15" hidden="false" customHeight="false" outlineLevel="0" collapsed="false">
      <c r="A10" s="25" t="s">
        <v>100</v>
      </c>
    </row>
    <row r="11" customFormat="false" ht="15" hidden="false" customHeight="false" outlineLevel="0" collapsed="false">
      <c r="A11" s="25" t="s">
        <v>101</v>
      </c>
    </row>
    <row r="12" customFormat="false" ht="15" hidden="false" customHeight="false" outlineLevel="0" collapsed="false">
      <c r="A12" s="25" t="s">
        <v>102</v>
      </c>
    </row>
    <row r="13" customFormat="false" ht="15" hidden="false" customHeight="false" outlineLevel="0" collapsed="false">
      <c r="A13" s="25" t="s">
        <v>103</v>
      </c>
    </row>
    <row r="14" customFormat="false" ht="15" hidden="false" customHeight="false" outlineLevel="0" collapsed="false">
      <c r="A14" s="25" t="s">
        <v>104</v>
      </c>
    </row>
    <row r="15" customFormat="false" ht="15" hidden="false" customHeight="false" outlineLevel="0" collapsed="false">
      <c r="A15" s="25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6"/>
  </cols>
  <sheetData>
    <row r="1" customFormat="false" ht="16.15" hidden="false" customHeight="false" outlineLevel="0" collapsed="false">
      <c r="A1" s="28" t="s">
        <v>106</v>
      </c>
      <c r="B1" s="28"/>
      <c r="C1" s="28"/>
      <c r="D1" s="28"/>
      <c r="E1" s="28"/>
      <c r="F1" s="28"/>
      <c r="G1" s="28"/>
    </row>
    <row r="3" customFormat="false" ht="26.85" hidden="false" customHeight="false" outlineLevel="0" collapsed="false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13</v>
      </c>
    </row>
    <row r="4" customFormat="false" ht="15" hidden="false" customHeight="false" outlineLevel="0" collapsed="false">
      <c r="A4" s="29" t="s">
        <v>114</v>
      </c>
      <c r="B4" s="29" t="n">
        <v>487</v>
      </c>
      <c r="C4" s="29" t="n">
        <v>473</v>
      </c>
      <c r="D4" s="29" t="s">
        <v>115</v>
      </c>
      <c r="E4" s="29" t="n">
        <v>448</v>
      </c>
      <c r="F4" s="29" t="n">
        <v>311</v>
      </c>
      <c r="G4" s="30" t="n">
        <v>680000</v>
      </c>
      <c r="H4" s="31" t="n">
        <f aca="false">F4/E4</f>
        <v>0.694196428571429</v>
      </c>
    </row>
    <row r="5" customFormat="false" ht="15" hidden="false" customHeight="false" outlineLevel="0" collapsed="false">
      <c r="A5" s="29" t="s">
        <v>116</v>
      </c>
      <c r="B5" s="29" t="n">
        <v>536</v>
      </c>
      <c r="C5" s="29" t="n">
        <v>472</v>
      </c>
      <c r="D5" s="29" t="s">
        <v>117</v>
      </c>
      <c r="E5" s="29" t="n">
        <v>458</v>
      </c>
      <c r="F5" s="29" t="n">
        <v>268</v>
      </c>
      <c r="G5" s="30" t="n">
        <v>712000</v>
      </c>
      <c r="H5" s="31" t="n">
        <f aca="false">F5/E5</f>
        <v>0.585152838427948</v>
      </c>
    </row>
    <row r="6" customFormat="false" ht="15" hidden="false" customHeight="false" outlineLevel="0" collapsed="false">
      <c r="A6" s="29" t="s">
        <v>118</v>
      </c>
      <c r="B6" s="29" t="n">
        <v>663</v>
      </c>
      <c r="C6" s="29" t="n">
        <v>586</v>
      </c>
      <c r="D6" s="29" t="s">
        <v>119</v>
      </c>
      <c r="E6" s="29" t="n">
        <v>527</v>
      </c>
      <c r="F6" s="29" t="n">
        <v>393</v>
      </c>
      <c r="G6" s="30" t="n">
        <v>756000</v>
      </c>
      <c r="H6" s="31" t="n">
        <f aca="false">F6/E6</f>
        <v>0.74573055028463</v>
      </c>
    </row>
    <row r="8" customFormat="false" ht="15" hidden="false" customHeight="false" outlineLevel="0" collapsed="false">
      <c r="A8" s="32" t="s">
        <v>120</v>
      </c>
      <c r="B8" s="32"/>
      <c r="C8" s="32"/>
      <c r="D8" s="32"/>
      <c r="E8" s="32"/>
      <c r="F8" s="32"/>
      <c r="G8" s="32"/>
      <c r="H8" s="32"/>
    </row>
  </sheetData>
  <mergeCells count="2">
    <mergeCell ref="A1:G1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2026-03-18T07:13:39Z</dcterms:created>
  <dc:creator>openpyxl</dc:creator>
  <dc:description/>
  <dc:language>en-US</dc:language>
  <cp:lastModifiedBy/>
  <dcterms:modified xsi:type="dcterms:W3CDTF">2026-03-18T07:13:39Z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